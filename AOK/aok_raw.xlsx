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q18epit\Desktop\Gestationsdiabetes\_Replik\AOK\"/>
    </mc:Choice>
  </mc:AlternateContent>
  <xr:revisionPtr revIDLastSave="0" documentId="8_{154B887F-F12B-4F3C-8244-2512D216F0B8}" xr6:coauthVersionLast="47" xr6:coauthVersionMax="47" xr10:uidLastSave="{00000000-0000-0000-0000-000000000000}"/>
  <bookViews>
    <workbookView xWindow="28680" yWindow="-120" windowWidth="29040" windowHeight="15720" xr2:uid="{045108C9-DC90-454C-A25F-BBDFD9C1310B}"/>
  </bookViews>
  <sheets>
    <sheet name="Date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" i="3" l="1"/>
  <c r="C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<sst xmlns="http://schemas.openxmlformats.org/spreadsheetml/2006/main" count="6" uniqueCount="6">
  <si>
    <t>N</t>
  </si>
  <si>
    <t>year</t>
  </si>
  <si>
    <t>month</t>
  </si>
  <si>
    <t>tested</t>
  </si>
  <si>
    <t>share</t>
  </si>
  <si>
    <t>Versichert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</si>
</sst>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/>
    <xf numFmtId="0" fontId="0" fillId="0" borderId="0" xfId="0" applyAlignment="1">
      <alignment horizontal="center"/>
    </xf>
    <xf numFmtId="0" fontId="0" fillId="0" borderId="1" xfId="0" applyBorder="1"/>
    <xf numFmtId="10" fontId="0" fillId="0" borderId="1" xfId="1" applyNumberFormat="1" applyFont="1" applyBorder="1"/>
    <xf numFmtId="0" fontId="0" fillId="0" borderId="0" xfId="0" applyFill="1"/>
    <xf numFmtId="10" fontId="0" fillId="0" borderId="0" xfId="1" applyNumberFormat="1" applyFon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AE6C-25E4-491C-BD03-E0D00F07FF7F}">
  <dimension ref="A1:F62"/>
  <sheetViews>
    <sheetView tabSelected="1" zoomScale="70" zoomScaleNormal="70" workbookViewId="0">
      <selection activeCell="E2" sqref="E2"/>
    </sheetView>
  </sheetViews>
  <sheetFormatPr baseColWidth="10" defaultRowHeight="15" x14ac:dyDescent="0.25"/>
  <cols>
    <col min="3" max="3" width="14.28515625" customWidth="1"/>
  </cols>
  <sheetData>
    <row r="1" spans="1:6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</row>
    <row r="2" spans="1:6" s="5" customFormat="1" x14ac:dyDescent="0.25">
      <c r="A2" s="5">
        <v>2010</v>
      </c>
      <c r="B2" s="5">
        <v>1</v>
      </c>
      <c r="C2" s="5">
        <v>1213</v>
      </c>
      <c r="D2" s="5">
        <v>376</v>
      </c>
      <c r="E2" s="6">
        <f t="shared" ref="E2:E42" si="0">D2/C2</f>
        <v>0.3099752679307502</v>
      </c>
      <c r="F2">
        <v>1250</v>
      </c>
    </row>
    <row r="3" spans="1:6" s="5" customFormat="1" x14ac:dyDescent="0.25">
      <c r="A3" s="5">
        <v>2010</v>
      </c>
      <c r="B3" s="5">
        <v>2</v>
      </c>
      <c r="C3" s="5">
        <v>1123</v>
      </c>
      <c r="D3" s="5">
        <v>389</v>
      </c>
      <c r="E3" s="6">
        <f t="shared" si="0"/>
        <v>0.34639358860195901</v>
      </c>
      <c r="F3">
        <v>1149</v>
      </c>
    </row>
    <row r="4" spans="1:6" s="5" customFormat="1" x14ac:dyDescent="0.25">
      <c r="A4" s="5">
        <v>2010</v>
      </c>
      <c r="B4" s="5">
        <v>3</v>
      </c>
      <c r="C4" s="5">
        <v>1202</v>
      </c>
      <c r="D4" s="5">
        <v>367</v>
      </c>
      <c r="E4" s="6">
        <f t="shared" si="0"/>
        <v>0.30532445923460899</v>
      </c>
      <c r="F4">
        <v>1231</v>
      </c>
    </row>
    <row r="5" spans="1:6" s="5" customFormat="1" x14ac:dyDescent="0.25">
      <c r="A5" s="5">
        <v>2010</v>
      </c>
      <c r="B5" s="5">
        <v>4</v>
      </c>
      <c r="C5" s="5">
        <v>1184</v>
      </c>
      <c r="D5" s="5">
        <v>467</v>
      </c>
      <c r="E5" s="6">
        <f t="shared" si="0"/>
        <v>0.39442567567567566</v>
      </c>
      <c r="F5">
        <v>1219</v>
      </c>
    </row>
    <row r="6" spans="1:6" s="5" customFormat="1" x14ac:dyDescent="0.25">
      <c r="A6" s="5">
        <v>2010</v>
      </c>
      <c r="B6" s="5">
        <v>5</v>
      </c>
      <c r="C6" s="5">
        <v>1256</v>
      </c>
      <c r="D6" s="5">
        <v>473</v>
      </c>
      <c r="E6" s="6">
        <f t="shared" si="0"/>
        <v>0.37659235668789809</v>
      </c>
      <c r="F6">
        <v>1297</v>
      </c>
    </row>
    <row r="7" spans="1:6" s="5" customFormat="1" x14ac:dyDescent="0.25">
      <c r="A7" s="5">
        <v>2010</v>
      </c>
      <c r="B7" s="5">
        <v>6</v>
      </c>
      <c r="C7" s="5">
        <v>1309</v>
      </c>
      <c r="D7" s="5">
        <v>517</v>
      </c>
      <c r="E7" s="6">
        <f t="shared" si="0"/>
        <v>0.3949579831932773</v>
      </c>
      <c r="F7">
        <v>1357</v>
      </c>
    </row>
    <row r="8" spans="1:6" s="5" customFormat="1" x14ac:dyDescent="0.25">
      <c r="A8" s="5">
        <v>2010</v>
      </c>
      <c r="B8" s="5">
        <v>7</v>
      </c>
      <c r="C8" s="5">
        <v>1433</v>
      </c>
      <c r="D8" s="5">
        <v>584</v>
      </c>
      <c r="E8" s="6">
        <f t="shared" si="0"/>
        <v>0.40753663642707605</v>
      </c>
      <c r="F8">
        <v>1485</v>
      </c>
    </row>
    <row r="9" spans="1:6" s="5" customFormat="1" x14ac:dyDescent="0.25">
      <c r="A9" s="5">
        <v>2010</v>
      </c>
      <c r="B9" s="5">
        <v>8</v>
      </c>
      <c r="C9" s="5">
        <v>1373</v>
      </c>
      <c r="D9" s="5">
        <v>535</v>
      </c>
      <c r="E9" s="6">
        <f t="shared" si="0"/>
        <v>0.38965768390386019</v>
      </c>
      <c r="F9">
        <v>1417</v>
      </c>
    </row>
    <row r="10" spans="1:6" s="5" customFormat="1" x14ac:dyDescent="0.25">
      <c r="A10" s="5">
        <v>2010</v>
      </c>
      <c r="B10" s="5">
        <v>9</v>
      </c>
      <c r="C10" s="5">
        <v>1276</v>
      </c>
      <c r="D10" s="5">
        <v>523</v>
      </c>
      <c r="E10" s="6">
        <f t="shared" si="0"/>
        <v>0.40987460815047022</v>
      </c>
      <c r="F10">
        <v>1321</v>
      </c>
    </row>
    <row r="11" spans="1:6" s="5" customFormat="1" x14ac:dyDescent="0.25">
      <c r="A11" s="5">
        <v>2010</v>
      </c>
      <c r="B11" s="5">
        <v>10</v>
      </c>
      <c r="C11" s="5">
        <v>1275</v>
      </c>
      <c r="D11" s="5">
        <v>480</v>
      </c>
      <c r="E11" s="6">
        <f t="shared" si="0"/>
        <v>0.37647058823529411</v>
      </c>
      <c r="F11">
        <v>1326</v>
      </c>
    </row>
    <row r="12" spans="1:6" s="5" customFormat="1" x14ac:dyDescent="0.25">
      <c r="A12" s="5">
        <v>2010</v>
      </c>
      <c r="B12" s="5">
        <v>11</v>
      </c>
      <c r="C12" s="5">
        <v>1238</v>
      </c>
      <c r="D12" s="5">
        <v>510</v>
      </c>
      <c r="E12" s="6">
        <f t="shared" si="0"/>
        <v>0.41195476575121165</v>
      </c>
      <c r="F12">
        <v>1284</v>
      </c>
    </row>
    <row r="13" spans="1:6" s="5" customFormat="1" x14ac:dyDescent="0.25">
      <c r="A13" s="5">
        <v>2010</v>
      </c>
      <c r="B13" s="5">
        <v>12</v>
      </c>
      <c r="C13" s="5">
        <v>1223</v>
      </c>
      <c r="D13" s="5">
        <v>483</v>
      </c>
      <c r="E13" s="6">
        <f t="shared" si="0"/>
        <v>0.39493049877350778</v>
      </c>
      <c r="F13">
        <v>1259</v>
      </c>
    </row>
    <row r="14" spans="1:6" s="5" customFormat="1" x14ac:dyDescent="0.25">
      <c r="A14" s="5">
        <v>2011</v>
      </c>
      <c r="B14" s="5">
        <v>1</v>
      </c>
      <c r="C14" s="5">
        <v>1117</v>
      </c>
      <c r="D14" s="5">
        <v>458</v>
      </c>
      <c r="E14" s="6">
        <f t="shared" si="0"/>
        <v>0.41002685765443153</v>
      </c>
      <c r="F14">
        <v>1173</v>
      </c>
    </row>
    <row r="15" spans="1:6" s="5" customFormat="1" x14ac:dyDescent="0.25">
      <c r="A15" s="5">
        <v>2011</v>
      </c>
      <c r="B15" s="5">
        <v>2</v>
      </c>
      <c r="C15" s="5">
        <v>1105</v>
      </c>
      <c r="D15" s="5">
        <v>457</v>
      </c>
      <c r="E15" s="6">
        <f t="shared" si="0"/>
        <v>0.41357466063348414</v>
      </c>
      <c r="F15">
        <v>1142</v>
      </c>
    </row>
    <row r="16" spans="1:6" s="5" customFormat="1" x14ac:dyDescent="0.25">
      <c r="A16" s="5">
        <v>2011</v>
      </c>
      <c r="B16" s="5">
        <v>3</v>
      </c>
      <c r="C16" s="5">
        <v>1243</v>
      </c>
      <c r="D16" s="5">
        <v>501</v>
      </c>
      <c r="E16" s="6">
        <f t="shared" si="0"/>
        <v>0.40305711987127918</v>
      </c>
      <c r="F16">
        <v>1282</v>
      </c>
    </row>
    <row r="17" spans="1:6" s="5" customFormat="1" x14ac:dyDescent="0.25">
      <c r="A17" s="5">
        <v>2011</v>
      </c>
      <c r="B17" s="5">
        <v>4</v>
      </c>
      <c r="C17" s="5">
        <v>1099</v>
      </c>
      <c r="D17" s="5">
        <v>457</v>
      </c>
      <c r="E17" s="6">
        <f t="shared" si="0"/>
        <v>0.41583257506824384</v>
      </c>
      <c r="F17">
        <v>1140</v>
      </c>
    </row>
    <row r="18" spans="1:6" s="5" customFormat="1" x14ac:dyDescent="0.25">
      <c r="A18" s="5">
        <v>2011</v>
      </c>
      <c r="B18" s="5">
        <v>5</v>
      </c>
      <c r="C18" s="5">
        <v>1281</v>
      </c>
      <c r="D18" s="5">
        <v>565</v>
      </c>
      <c r="E18" s="6">
        <f t="shared" si="0"/>
        <v>0.44106167056986728</v>
      </c>
      <c r="F18">
        <v>1327</v>
      </c>
    </row>
    <row r="19" spans="1:6" s="5" customFormat="1" x14ac:dyDescent="0.25">
      <c r="A19" s="5">
        <v>2011</v>
      </c>
      <c r="B19" s="5">
        <v>6</v>
      </c>
      <c r="C19" s="5">
        <v>1311</v>
      </c>
      <c r="D19" s="5">
        <v>559</v>
      </c>
      <c r="E19" s="6">
        <f t="shared" si="0"/>
        <v>0.42639206712433259</v>
      </c>
      <c r="F19">
        <v>1338</v>
      </c>
    </row>
    <row r="20" spans="1:6" s="5" customFormat="1" x14ac:dyDescent="0.25">
      <c r="A20" s="5">
        <v>2011</v>
      </c>
      <c r="B20" s="5">
        <v>7</v>
      </c>
      <c r="C20" s="5">
        <v>1374</v>
      </c>
      <c r="D20" s="5">
        <v>579</v>
      </c>
      <c r="E20" s="6">
        <f t="shared" si="0"/>
        <v>0.42139737991266374</v>
      </c>
      <c r="F20">
        <v>1422</v>
      </c>
    </row>
    <row r="21" spans="1:6" s="5" customFormat="1" x14ac:dyDescent="0.25">
      <c r="A21" s="5">
        <v>2011</v>
      </c>
      <c r="B21" s="5">
        <v>8</v>
      </c>
      <c r="C21" s="5">
        <v>1430</v>
      </c>
      <c r="D21" s="5">
        <v>609</v>
      </c>
      <c r="E21" s="6">
        <f t="shared" si="0"/>
        <v>0.42587412587412588</v>
      </c>
      <c r="F21">
        <v>1491</v>
      </c>
    </row>
    <row r="22" spans="1:6" s="5" customFormat="1" x14ac:dyDescent="0.25">
      <c r="A22" s="5">
        <v>2011</v>
      </c>
      <c r="B22" s="5">
        <v>9</v>
      </c>
      <c r="C22" s="5">
        <v>1400</v>
      </c>
      <c r="D22" s="5">
        <v>614</v>
      </c>
      <c r="E22" s="6">
        <f t="shared" si="0"/>
        <v>0.43857142857142856</v>
      </c>
      <c r="F22">
        <v>1453</v>
      </c>
    </row>
    <row r="23" spans="1:6" s="5" customFormat="1" x14ac:dyDescent="0.25">
      <c r="A23" s="5">
        <v>2011</v>
      </c>
      <c r="B23" s="5">
        <v>10</v>
      </c>
      <c r="C23" s="5">
        <v>1265</v>
      </c>
      <c r="D23" s="5">
        <v>517</v>
      </c>
      <c r="E23" s="6">
        <f t="shared" si="0"/>
        <v>0.40869565217391307</v>
      </c>
      <c r="F23">
        <v>1309</v>
      </c>
    </row>
    <row r="24" spans="1:6" s="5" customFormat="1" x14ac:dyDescent="0.25">
      <c r="A24" s="5">
        <v>2011</v>
      </c>
      <c r="B24" s="5">
        <v>11</v>
      </c>
      <c r="C24" s="5">
        <v>1246</v>
      </c>
      <c r="D24" s="5">
        <v>548</v>
      </c>
      <c r="E24" s="6">
        <f t="shared" si="0"/>
        <v>0.43980738362760835</v>
      </c>
      <c r="F24">
        <v>1284</v>
      </c>
    </row>
    <row r="25" spans="1:6" s="5" customFormat="1" x14ac:dyDescent="0.25">
      <c r="A25" s="5">
        <v>2011</v>
      </c>
      <c r="B25" s="5">
        <v>12</v>
      </c>
      <c r="C25" s="5">
        <v>1194</v>
      </c>
      <c r="D25" s="5">
        <v>518</v>
      </c>
      <c r="E25" s="6">
        <f t="shared" si="0"/>
        <v>0.43383584589614738</v>
      </c>
      <c r="F25">
        <v>1224</v>
      </c>
    </row>
    <row r="26" spans="1:6" s="5" customFormat="1" x14ac:dyDescent="0.25">
      <c r="A26" s="5">
        <v>2012</v>
      </c>
      <c r="B26" s="5">
        <v>1</v>
      </c>
      <c r="C26" s="5">
        <v>1232</v>
      </c>
      <c r="D26" s="5">
        <v>575</v>
      </c>
      <c r="E26" s="6">
        <f t="shared" si="0"/>
        <v>0.4667207792207792</v>
      </c>
      <c r="F26">
        <v>1283</v>
      </c>
    </row>
    <row r="27" spans="1:6" s="5" customFormat="1" x14ac:dyDescent="0.25">
      <c r="A27" s="5">
        <v>2012</v>
      </c>
      <c r="B27" s="5">
        <v>2</v>
      </c>
      <c r="C27" s="5">
        <v>1155</v>
      </c>
      <c r="D27" s="5">
        <v>549</v>
      </c>
      <c r="E27" s="6">
        <f t="shared" si="0"/>
        <v>0.47532467532467532</v>
      </c>
      <c r="F27">
        <v>1204</v>
      </c>
    </row>
    <row r="28" spans="1:6" s="5" customFormat="1" x14ac:dyDescent="0.25">
      <c r="A28" s="5">
        <v>2012</v>
      </c>
      <c r="B28" s="5">
        <v>3</v>
      </c>
      <c r="C28" s="5">
        <v>1244</v>
      </c>
      <c r="D28" s="5">
        <v>576</v>
      </c>
      <c r="E28" s="6">
        <f t="shared" si="0"/>
        <v>0.46302250803858519</v>
      </c>
      <c r="F28">
        <v>1279</v>
      </c>
    </row>
    <row r="29" spans="1:6" s="5" customFormat="1" x14ac:dyDescent="0.25">
      <c r="A29" s="5">
        <v>2012</v>
      </c>
      <c r="B29" s="5">
        <v>4</v>
      </c>
      <c r="C29" s="5">
        <v>1196</v>
      </c>
      <c r="D29" s="5">
        <v>529</v>
      </c>
      <c r="E29" s="6">
        <f t="shared" si="0"/>
        <v>0.44230769230769229</v>
      </c>
      <c r="F29">
        <v>1234</v>
      </c>
    </row>
    <row r="30" spans="1:6" s="5" customFormat="1" x14ac:dyDescent="0.25">
      <c r="A30" s="5">
        <v>2012</v>
      </c>
      <c r="B30" s="5">
        <v>5</v>
      </c>
      <c r="C30" s="5">
        <v>1301</v>
      </c>
      <c r="D30" s="5">
        <v>649</v>
      </c>
      <c r="E30" s="6">
        <f t="shared" si="0"/>
        <v>0.49884704073789393</v>
      </c>
      <c r="F30">
        <v>1344</v>
      </c>
    </row>
    <row r="31" spans="1:6" s="5" customFormat="1" x14ac:dyDescent="0.25">
      <c r="A31" s="5">
        <v>2012</v>
      </c>
      <c r="B31" s="5">
        <v>6</v>
      </c>
      <c r="C31" s="5">
        <v>1345</v>
      </c>
      <c r="D31" s="5">
        <v>696</v>
      </c>
      <c r="E31" s="6">
        <f t="shared" si="0"/>
        <v>0.51747211895910783</v>
      </c>
      <c r="F31">
        <v>1389</v>
      </c>
    </row>
    <row r="32" spans="1:6" s="5" customFormat="1" x14ac:dyDescent="0.25">
      <c r="A32" s="5">
        <v>2012</v>
      </c>
      <c r="B32" s="5">
        <v>7</v>
      </c>
      <c r="C32" s="5">
        <v>1480</v>
      </c>
      <c r="D32" s="5">
        <v>787</v>
      </c>
      <c r="E32" s="6">
        <f t="shared" si="0"/>
        <v>0.53175675675675671</v>
      </c>
      <c r="F32">
        <v>1526</v>
      </c>
    </row>
    <row r="33" spans="1:6" s="5" customFormat="1" x14ac:dyDescent="0.25">
      <c r="A33" s="5">
        <v>2012</v>
      </c>
      <c r="B33" s="5">
        <v>8</v>
      </c>
      <c r="C33" s="5">
        <v>1451</v>
      </c>
      <c r="D33" s="5">
        <v>778</v>
      </c>
      <c r="E33" s="6">
        <f t="shared" si="0"/>
        <v>0.53618194348725012</v>
      </c>
      <c r="F33">
        <v>1490</v>
      </c>
    </row>
    <row r="34" spans="1:6" s="5" customFormat="1" x14ac:dyDescent="0.25">
      <c r="A34" s="5">
        <v>2012</v>
      </c>
      <c r="B34" s="5">
        <v>9</v>
      </c>
      <c r="C34" s="5">
        <v>1352</v>
      </c>
      <c r="D34" s="5">
        <v>716</v>
      </c>
      <c r="E34" s="6">
        <f t="shared" si="0"/>
        <v>0.52958579881656809</v>
      </c>
      <c r="F34">
        <v>1400</v>
      </c>
    </row>
    <row r="35" spans="1:6" s="5" customFormat="1" x14ac:dyDescent="0.25">
      <c r="A35" s="5">
        <v>2012</v>
      </c>
      <c r="B35" s="5">
        <v>10</v>
      </c>
      <c r="C35" s="5">
        <v>1328</v>
      </c>
      <c r="D35" s="5">
        <v>712</v>
      </c>
      <c r="E35" s="6">
        <f t="shared" si="0"/>
        <v>0.53614457831325302</v>
      </c>
      <c r="F35">
        <v>1372</v>
      </c>
    </row>
    <row r="36" spans="1:6" s="5" customFormat="1" x14ac:dyDescent="0.25">
      <c r="A36" s="5">
        <v>2012</v>
      </c>
      <c r="B36" s="5">
        <v>11</v>
      </c>
      <c r="C36" s="5">
        <v>1265</v>
      </c>
      <c r="D36" s="5">
        <v>728</v>
      </c>
      <c r="E36" s="6">
        <f t="shared" si="0"/>
        <v>0.57549407114624507</v>
      </c>
      <c r="F36">
        <v>1318</v>
      </c>
    </row>
    <row r="37" spans="1:6" s="5" customFormat="1" x14ac:dyDescent="0.25">
      <c r="A37" s="5">
        <v>2012</v>
      </c>
      <c r="B37" s="5">
        <v>12</v>
      </c>
      <c r="C37" s="5">
        <v>1225</v>
      </c>
      <c r="D37" s="5">
        <v>723</v>
      </c>
      <c r="E37" s="6">
        <f t="shared" si="0"/>
        <v>0.59020408163265303</v>
      </c>
      <c r="F37">
        <v>1272</v>
      </c>
    </row>
    <row r="38" spans="1:6" s="5" customFormat="1" x14ac:dyDescent="0.25">
      <c r="A38" s="5">
        <v>2013</v>
      </c>
      <c r="B38" s="5">
        <v>1</v>
      </c>
      <c r="C38" s="5">
        <v>1212</v>
      </c>
      <c r="D38" s="5">
        <v>686</v>
      </c>
      <c r="E38" s="6">
        <f t="shared" si="0"/>
        <v>0.56600660066006603</v>
      </c>
      <c r="F38">
        <v>1269</v>
      </c>
    </row>
    <row r="39" spans="1:6" s="5" customFormat="1" x14ac:dyDescent="0.25">
      <c r="A39" s="5">
        <v>2013</v>
      </c>
      <c r="B39" s="5">
        <v>2</v>
      </c>
      <c r="C39" s="5">
        <v>1149</v>
      </c>
      <c r="D39" s="5">
        <v>686</v>
      </c>
      <c r="E39" s="6">
        <f t="shared" si="0"/>
        <v>0.59704090513489994</v>
      </c>
      <c r="F39">
        <v>1191</v>
      </c>
    </row>
    <row r="40" spans="1:6" s="5" customFormat="1" x14ac:dyDescent="0.25">
      <c r="A40" s="5">
        <v>2013</v>
      </c>
      <c r="B40" s="5">
        <v>3</v>
      </c>
      <c r="C40" s="5">
        <v>1278</v>
      </c>
      <c r="D40" s="5">
        <v>755</v>
      </c>
      <c r="E40" s="6">
        <f t="shared" si="0"/>
        <v>0.59076682316118934</v>
      </c>
      <c r="F40">
        <v>1321</v>
      </c>
    </row>
    <row r="41" spans="1:6" s="5" customFormat="1" x14ac:dyDescent="0.25">
      <c r="A41" s="5">
        <v>2013</v>
      </c>
      <c r="B41" s="5">
        <v>4</v>
      </c>
      <c r="C41" s="5">
        <v>1289</v>
      </c>
      <c r="D41" s="5">
        <v>744</v>
      </c>
      <c r="E41" s="6">
        <f t="shared" si="0"/>
        <v>0.57719162141194724</v>
      </c>
      <c r="F41">
        <v>1330</v>
      </c>
    </row>
    <row r="42" spans="1:6" s="5" customFormat="1" x14ac:dyDescent="0.25">
      <c r="A42" s="5">
        <v>2013</v>
      </c>
      <c r="B42" s="5">
        <v>5</v>
      </c>
      <c r="C42" s="5">
        <v>1307</v>
      </c>
      <c r="D42" s="5">
        <v>791</v>
      </c>
      <c r="E42" s="6">
        <f t="shared" si="0"/>
        <v>0.60520275439938787</v>
      </c>
      <c r="F42">
        <v>1339</v>
      </c>
    </row>
    <row r="43" spans="1:6" s="5" customFormat="1" x14ac:dyDescent="0.25">
      <c r="A43" s="5">
        <v>2013</v>
      </c>
      <c r="B43" s="5">
        <v>6</v>
      </c>
      <c r="C43" s="5">
        <v>1398</v>
      </c>
      <c r="D43" s="5">
        <v>847</v>
      </c>
      <c r="E43" s="6">
        <f t="shared" ref="E43:E61" si="1">D43/C43</f>
        <v>0.60586552217453504</v>
      </c>
      <c r="F43">
        <v>1435</v>
      </c>
    </row>
    <row r="44" spans="1:6" s="5" customFormat="1" x14ac:dyDescent="0.25">
      <c r="A44" s="5">
        <v>2013</v>
      </c>
      <c r="B44" s="5">
        <v>7</v>
      </c>
      <c r="C44" s="5">
        <v>1527</v>
      </c>
      <c r="D44" s="5">
        <v>965</v>
      </c>
      <c r="E44" s="6">
        <f t="shared" si="1"/>
        <v>0.63195808775376561</v>
      </c>
      <c r="F44" s="5">
        <v>1595</v>
      </c>
    </row>
    <row r="45" spans="1:6" x14ac:dyDescent="0.25">
      <c r="A45">
        <v>2013</v>
      </c>
      <c r="B45">
        <v>8</v>
      </c>
      <c r="C45">
        <v>1471</v>
      </c>
      <c r="D45">
        <v>897</v>
      </c>
      <c r="E45" s="1">
        <f t="shared" si="1"/>
        <v>0.60978925900747794</v>
      </c>
      <c r="F45">
        <v>1524</v>
      </c>
    </row>
    <row r="46" spans="1:6" x14ac:dyDescent="0.25">
      <c r="A46">
        <v>2013</v>
      </c>
      <c r="B46">
        <v>9</v>
      </c>
      <c r="C46">
        <v>1559</v>
      </c>
      <c r="D46">
        <v>1042</v>
      </c>
      <c r="E46" s="1">
        <f t="shared" si="1"/>
        <v>0.66837716484926235</v>
      </c>
      <c r="F46">
        <v>1617</v>
      </c>
    </row>
    <row r="47" spans="1:6" x14ac:dyDescent="0.25">
      <c r="A47">
        <v>2013</v>
      </c>
      <c r="B47">
        <v>10</v>
      </c>
      <c r="C47">
        <v>1350</v>
      </c>
      <c r="D47">
        <v>1127</v>
      </c>
      <c r="E47" s="1">
        <f t="shared" si="1"/>
        <v>0.83481481481481479</v>
      </c>
      <c r="F47">
        <v>1411</v>
      </c>
    </row>
    <row r="48" spans="1:6" x14ac:dyDescent="0.25">
      <c r="A48">
        <v>2013</v>
      </c>
      <c r="B48">
        <v>11</v>
      </c>
      <c r="C48">
        <v>1241</v>
      </c>
      <c r="D48">
        <v>1094</v>
      </c>
      <c r="E48" s="1">
        <f t="shared" si="1"/>
        <v>0.88154713940370666</v>
      </c>
      <c r="F48">
        <v>1313</v>
      </c>
    </row>
    <row r="49" spans="1:6" x14ac:dyDescent="0.25">
      <c r="A49">
        <v>2013</v>
      </c>
      <c r="B49">
        <v>12</v>
      </c>
      <c r="C49">
        <v>1281</v>
      </c>
      <c r="D49">
        <v>1166</v>
      </c>
      <c r="E49" s="1">
        <f t="shared" si="1"/>
        <v>0.91022638563622171</v>
      </c>
      <c r="F49">
        <v>1338</v>
      </c>
    </row>
    <row r="50" spans="1:6" x14ac:dyDescent="0.25">
      <c r="A50">
        <v>2014</v>
      </c>
      <c r="B50">
        <v>1</v>
      </c>
      <c r="C50">
        <v>1371</v>
      </c>
      <c r="D50">
        <v>1237</v>
      </c>
      <c r="E50" s="1">
        <f t="shared" si="1"/>
        <v>0.90226112326768781</v>
      </c>
      <c r="F50">
        <v>1420</v>
      </c>
    </row>
    <row r="51" spans="1:6" x14ac:dyDescent="0.25">
      <c r="A51">
        <v>2014</v>
      </c>
      <c r="B51">
        <v>2</v>
      </c>
      <c r="C51">
        <v>1197</v>
      </c>
      <c r="D51">
        <v>1081</v>
      </c>
      <c r="E51" s="1">
        <f t="shared" si="1"/>
        <v>0.90309106098579783</v>
      </c>
      <c r="F51">
        <v>1256</v>
      </c>
    </row>
    <row r="52" spans="1:6" x14ac:dyDescent="0.25">
      <c r="A52">
        <v>2014</v>
      </c>
      <c r="B52">
        <v>3</v>
      </c>
      <c r="C52">
        <v>1315</v>
      </c>
      <c r="D52">
        <v>1189</v>
      </c>
      <c r="E52" s="1">
        <f t="shared" si="1"/>
        <v>0.90418250950570345</v>
      </c>
      <c r="F52">
        <v>1366</v>
      </c>
    </row>
    <row r="53" spans="1:6" x14ac:dyDescent="0.25">
      <c r="A53">
        <v>2014</v>
      </c>
      <c r="B53">
        <v>4</v>
      </c>
      <c r="C53">
        <v>1305</v>
      </c>
      <c r="D53">
        <v>1188</v>
      </c>
      <c r="E53" s="1">
        <f t="shared" si="1"/>
        <v>0.91034482758620694</v>
      </c>
      <c r="F53">
        <v>1354</v>
      </c>
    </row>
    <row r="54" spans="1:6" x14ac:dyDescent="0.25">
      <c r="A54">
        <v>2014</v>
      </c>
      <c r="B54">
        <v>5</v>
      </c>
      <c r="C54">
        <v>1348</v>
      </c>
      <c r="D54">
        <v>1229</v>
      </c>
      <c r="E54" s="1">
        <f t="shared" si="1"/>
        <v>0.91172106824925814</v>
      </c>
      <c r="F54">
        <v>1401</v>
      </c>
    </row>
    <row r="55" spans="1:6" x14ac:dyDescent="0.25">
      <c r="A55">
        <v>2014</v>
      </c>
      <c r="B55">
        <v>6</v>
      </c>
      <c r="C55">
        <v>1502</v>
      </c>
      <c r="D55">
        <v>1386</v>
      </c>
      <c r="E55" s="1">
        <f t="shared" si="1"/>
        <v>0.92276964047936083</v>
      </c>
      <c r="F55">
        <v>1568</v>
      </c>
    </row>
    <row r="56" spans="1:6" x14ac:dyDescent="0.25">
      <c r="A56">
        <v>2014</v>
      </c>
      <c r="B56">
        <v>7</v>
      </c>
      <c r="C56">
        <v>1596</v>
      </c>
      <c r="D56">
        <v>1480</v>
      </c>
      <c r="E56" s="1">
        <f t="shared" si="1"/>
        <v>0.92731829573934832</v>
      </c>
      <c r="F56">
        <v>1674</v>
      </c>
    </row>
    <row r="57" spans="1:6" x14ac:dyDescent="0.25">
      <c r="A57">
        <v>2014</v>
      </c>
      <c r="B57">
        <v>8</v>
      </c>
      <c r="C57">
        <v>1500</v>
      </c>
      <c r="D57">
        <v>1393</v>
      </c>
      <c r="E57" s="1">
        <f t="shared" si="1"/>
        <v>0.92866666666666664</v>
      </c>
      <c r="F57">
        <v>1561</v>
      </c>
    </row>
    <row r="58" spans="1:6" x14ac:dyDescent="0.25">
      <c r="A58">
        <v>2014</v>
      </c>
      <c r="B58">
        <v>9</v>
      </c>
      <c r="C58">
        <v>1593</v>
      </c>
      <c r="D58">
        <v>1461</v>
      </c>
      <c r="E58" s="1">
        <f t="shared" si="1"/>
        <v>0.91713747645951038</v>
      </c>
      <c r="F58">
        <v>1654</v>
      </c>
    </row>
    <row r="59" spans="1:6" x14ac:dyDescent="0.25">
      <c r="A59">
        <v>2014</v>
      </c>
      <c r="B59">
        <v>10</v>
      </c>
      <c r="C59">
        <v>1436</v>
      </c>
      <c r="D59">
        <v>1341</v>
      </c>
      <c r="E59" s="1">
        <f t="shared" si="1"/>
        <v>0.93384401114206128</v>
      </c>
      <c r="F59">
        <v>1499</v>
      </c>
    </row>
    <row r="60" spans="1:6" x14ac:dyDescent="0.25">
      <c r="A60">
        <v>2014</v>
      </c>
      <c r="B60">
        <v>11</v>
      </c>
      <c r="C60">
        <v>1336</v>
      </c>
      <c r="D60">
        <v>1232</v>
      </c>
      <c r="E60" s="1">
        <f t="shared" si="1"/>
        <v>0.92215568862275454</v>
      </c>
      <c r="F60">
        <v>1391</v>
      </c>
    </row>
    <row r="61" spans="1:6" ht="15.75" thickBot="1" x14ac:dyDescent="0.3">
      <c r="A61">
        <v>2014</v>
      </c>
      <c r="B61">
        <v>12</v>
      </c>
      <c r="C61">
        <v>1359</v>
      </c>
      <c r="D61">
        <v>1269</v>
      </c>
      <c r="E61" s="1">
        <f t="shared" si="1"/>
        <v>0.93377483443708609</v>
      </c>
      <c r="F61">
        <v>1411</v>
      </c>
    </row>
    <row r="62" spans="1:6" ht="15.75" thickTop="1" x14ac:dyDescent="0.25">
      <c r="C62" s="3">
        <f>SUM(C2:C61)</f>
        <v>78664</v>
      </c>
      <c r="D62" s="3">
        <f>SUM(D2:D61)</f>
        <v>46390</v>
      </c>
      <c r="E62" s="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Company>Universitaetsklinikum Carl Gustav Carus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Tesch, Falko</dc:creator>
  <cp:lastModifiedBy>Barabasch, Anton</cp:lastModifiedBy>
  <dcterms:created xsi:type="dcterms:W3CDTF">2024-03-20T13:31:42Z</dcterms:created>
  <dcterms:modified xsi:type="dcterms:W3CDTF">2026-10-13T10:00:43Z</dcterms:modified>
</cp:coreProperties>
</file>